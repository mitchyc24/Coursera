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2604388ef899c1/Documents/"/>
    </mc:Choice>
  </mc:AlternateContent>
  <xr:revisionPtr revIDLastSave="0" documentId="8_{2F953752-5406-479D-8318-724FE44A574B}" xr6:coauthVersionLast="45" xr6:coauthVersionMax="45" xr10:uidLastSave="{00000000-0000-0000-0000-000000000000}"/>
  <bookViews>
    <workbookView xWindow="-120" yWindow="-120" windowWidth="29040" windowHeight="15840" activeTab="1" xr2:uid="{A0EE1F73-D8D6-4E65-A242-2C2147E129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  <c r="J38" i="1"/>
  <c r="J39" i="1"/>
  <c r="J40" i="1"/>
  <c r="J41" i="1"/>
  <c r="J42" i="1"/>
  <c r="J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J37" i="1"/>
  <c r="J3" i="1"/>
  <c r="J4" i="1"/>
  <c r="J5" i="1"/>
  <c r="J6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</calcChain>
</file>

<file path=xl/sharedStrings.xml><?xml version="1.0" encoding="utf-8"?>
<sst xmlns="http://schemas.openxmlformats.org/spreadsheetml/2006/main" count="328" uniqueCount="212">
  <si>
    <t>incoming</t>
  </si>
  <si>
    <t xml:space="preserve">line </t>
  </si>
  <si>
    <t>out</t>
  </si>
  <si>
    <t>π/4</t>
  </si>
  <si>
    <t>π/2</t>
  </si>
  <si>
    <t>π</t>
  </si>
  <si>
    <t>3π/2</t>
  </si>
  <si>
    <t>5π/4</t>
  </si>
  <si>
    <t>in</t>
  </si>
  <si>
    <t xml:space="preserve">in </t>
  </si>
  <si>
    <t>x</t>
  </si>
  <si>
    <t>normalized in</t>
  </si>
  <si>
    <t>normalized out</t>
  </si>
  <si>
    <t>pixels</t>
  </si>
  <si>
    <t>coordinate</t>
  </si>
  <si>
    <t>y</t>
  </si>
  <si>
    <t>y_coord</t>
  </si>
  <si>
    <t>y_pixel</t>
  </si>
  <si>
    <t>x_pixel</t>
  </si>
  <si>
    <t>x_coord</t>
  </si>
  <si>
    <t>-width/2 * xscl</t>
  </si>
  <si>
    <t>Boston Bruins</t>
  </si>
  <si>
    <t>Toronto Maple Leafs</t>
  </si>
  <si>
    <t>Florida Panthers</t>
  </si>
  <si>
    <t>Detroit Red Wings</t>
  </si>
  <si>
    <t>Montreal Canadiens</t>
  </si>
  <si>
    <t>Ottawa Senators</t>
  </si>
  <si>
    <t>Buffalo Sabres</t>
  </si>
  <si>
    <t>Washington Capitals</t>
  </si>
  <si>
    <t>Pittsburgh Penguins</t>
  </si>
  <si>
    <t>Philadelphia Flyers</t>
  </si>
  <si>
    <t>Columbus Blue Jackets</t>
  </si>
  <si>
    <t>New Jersey Devils</t>
  </si>
  <si>
    <t>Carolina Hurricanes</t>
  </si>
  <si>
    <t>New York Islanders</t>
  </si>
  <si>
    <t>New York Rangers</t>
  </si>
  <si>
    <t>Nashville Predators</t>
  </si>
  <si>
    <t>Winnipeg Jets</t>
  </si>
  <si>
    <t>Minnesota Wild</t>
  </si>
  <si>
    <t>Colorado Avalanche</t>
  </si>
  <si>
    <t>St. Louis Blues</t>
  </si>
  <si>
    <t>Dallas Stars</t>
  </si>
  <si>
    <t>Chicago Blackhawks</t>
  </si>
  <si>
    <t>Vegas Golden Knights</t>
  </si>
  <si>
    <t>Anaheim Ducks</t>
  </si>
  <si>
    <t>San Jose Sharks</t>
  </si>
  <si>
    <t>Los Angeles Kings</t>
  </si>
  <si>
    <t>Calgary Flames</t>
  </si>
  <si>
    <t>Edmonton Oilers</t>
  </si>
  <si>
    <t>Vancouver Canucks</t>
  </si>
  <si>
    <t>Arizona Coyotes</t>
  </si>
  <si>
    <t>New York City</t>
  </si>
  <si>
    <t>GiantsJets</t>
  </si>
  <si>
    <t>YankeesMets</t>
  </si>
  <si>
    <t>KnicksNets</t>
  </si>
  <si>
    <t>RangersIslandersDevils</t>
  </si>
  <si>
    <t>Los Angeles</t>
  </si>
  <si>
    <t>RamsChargers</t>
  </si>
  <si>
    <t>DodgersAngels</t>
  </si>
  <si>
    <t>LakersClippers</t>
  </si>
  <si>
    <t>KingsDucks</t>
  </si>
  <si>
    <t>San Francisco Bay Area</t>
  </si>
  <si>
    <t>49ersRaiders</t>
  </si>
  <si>
    <t>GiantsAthletics</t>
  </si>
  <si>
    <t>Warriors</t>
  </si>
  <si>
    <t>Sharks</t>
  </si>
  <si>
    <t>Chicago</t>
  </si>
  <si>
    <t>Bears</t>
  </si>
  <si>
    <t>CubsWhite Sox</t>
  </si>
  <si>
    <t>Bulls</t>
  </si>
  <si>
    <t>Blackhawks</t>
  </si>
  <si>
    <t>Dallas–Fort Worth</t>
  </si>
  <si>
    <t>Cowboys</t>
  </si>
  <si>
    <t>Rangers</t>
  </si>
  <si>
    <t>Mavericks</t>
  </si>
  <si>
    <t>Stars</t>
  </si>
  <si>
    <t>Washington, D.C.</t>
  </si>
  <si>
    <t>Redskins</t>
  </si>
  <si>
    <t>Nationals</t>
  </si>
  <si>
    <t>Wizards</t>
  </si>
  <si>
    <t>Capitals</t>
  </si>
  <si>
    <t>Philadelphia</t>
  </si>
  <si>
    <t>Eagles</t>
  </si>
  <si>
    <t>Phillies</t>
  </si>
  <si>
    <t>76ers</t>
  </si>
  <si>
    <t>Flyers</t>
  </si>
  <si>
    <t>Boston</t>
  </si>
  <si>
    <t>Patriots</t>
  </si>
  <si>
    <t>Red Sox</t>
  </si>
  <si>
    <t>Celtics</t>
  </si>
  <si>
    <t>Bruins</t>
  </si>
  <si>
    <t>Minneapolis–Saint Paul</t>
  </si>
  <si>
    <t>Vikings</t>
  </si>
  <si>
    <t>Twins</t>
  </si>
  <si>
    <t>Timberwolves</t>
  </si>
  <si>
    <t>Wild</t>
  </si>
  <si>
    <t>Denver</t>
  </si>
  <si>
    <t>Broncos</t>
  </si>
  <si>
    <t>Rockies</t>
  </si>
  <si>
    <t>Nuggets</t>
  </si>
  <si>
    <t>Avalanche</t>
  </si>
  <si>
    <t>Miami–Fort Lauderdale</t>
  </si>
  <si>
    <t>Dolphins</t>
  </si>
  <si>
    <t>Marlins</t>
  </si>
  <si>
    <t>Heat</t>
  </si>
  <si>
    <t>Panthers</t>
  </si>
  <si>
    <t>Phoenix</t>
  </si>
  <si>
    <t>Cardinals</t>
  </si>
  <si>
    <t>Diamondbacks</t>
  </si>
  <si>
    <t>Suns</t>
  </si>
  <si>
    <t>Coyotes</t>
  </si>
  <si>
    <t>Detroit</t>
  </si>
  <si>
    <t>Lions</t>
  </si>
  <si>
    <t>Tigers</t>
  </si>
  <si>
    <t>Pistons</t>
  </si>
  <si>
    <t>Red Wings</t>
  </si>
  <si>
    <t>Toronto</t>
  </si>
  <si>
    <t>—</t>
  </si>
  <si>
    <t>Blue Jays</t>
  </si>
  <si>
    <t>Raptors</t>
  </si>
  <si>
    <t>Maple Leafs</t>
  </si>
  <si>
    <t>Houston</t>
  </si>
  <si>
    <t>Texans</t>
  </si>
  <si>
    <t>Astros</t>
  </si>
  <si>
    <t>Rockets</t>
  </si>
  <si>
    <t>Atlanta</t>
  </si>
  <si>
    <t>Falcons</t>
  </si>
  <si>
    <t>Braves</t>
  </si>
  <si>
    <t>Hawks</t>
  </si>
  <si>
    <t>Tampa Bay Area</t>
  </si>
  <si>
    <t>Buccaneers</t>
  </si>
  <si>
    <t>Rays</t>
  </si>
  <si>
    <t>Lightning</t>
  </si>
  <si>
    <t>Pittsburgh</t>
  </si>
  <si>
    <t>Steelers</t>
  </si>
  <si>
    <t>Pirates</t>
  </si>
  <si>
    <t>Penguins</t>
  </si>
  <si>
    <t>Cleveland</t>
  </si>
  <si>
    <t>Browns</t>
  </si>
  <si>
    <t>Indians</t>
  </si>
  <si>
    <t>Cavaliers</t>
  </si>
  <si>
    <t>Seattle</t>
  </si>
  <si>
    <t>Seahawks</t>
  </si>
  <si>
    <t>Mariners</t>
  </si>
  <si>
    <t>Cincinnati</t>
  </si>
  <si>
    <t>Bengals</t>
  </si>
  <si>
    <t>Reds</t>
  </si>
  <si>
    <t>Kansas City</t>
  </si>
  <si>
    <t>Chiefs</t>
  </si>
  <si>
    <t>Royals</t>
  </si>
  <si>
    <t>St. Louis</t>
  </si>
  <si>
    <t>Blues</t>
  </si>
  <si>
    <t>Baltimore</t>
  </si>
  <si>
    <t>Ravens</t>
  </si>
  <si>
    <t>Orioles</t>
  </si>
  <si>
    <t>Charlotte</t>
  </si>
  <si>
    <t>Hornets</t>
  </si>
  <si>
    <t>Indianapolis</t>
  </si>
  <si>
    <t>Colts</t>
  </si>
  <si>
    <t>Pacers</t>
  </si>
  <si>
    <t>Nashville</t>
  </si>
  <si>
    <t>Titans</t>
  </si>
  <si>
    <t>Predators</t>
  </si>
  <si>
    <t>Milwaukee</t>
  </si>
  <si>
    <t>Brewers</t>
  </si>
  <si>
    <t>Bucks</t>
  </si>
  <si>
    <t>New Orleans</t>
  </si>
  <si>
    <t>Saints</t>
  </si>
  <si>
    <t>Pelicans</t>
  </si>
  <si>
    <t>Buffalo</t>
  </si>
  <si>
    <t>Bills</t>
  </si>
  <si>
    <t>Sabres</t>
  </si>
  <si>
    <t>Montreal</t>
  </si>
  <si>
    <t>Canadiens</t>
  </si>
  <si>
    <t>Vancouver</t>
  </si>
  <si>
    <t>Canucks</t>
  </si>
  <si>
    <t>Orlando</t>
  </si>
  <si>
    <t>Magic</t>
  </si>
  <si>
    <t>Portland</t>
  </si>
  <si>
    <t>Trail Blazers</t>
  </si>
  <si>
    <t>Columbus</t>
  </si>
  <si>
    <t>Blue Jackets</t>
  </si>
  <si>
    <t>Calgary</t>
  </si>
  <si>
    <t>Flames</t>
  </si>
  <si>
    <t>Ottawa</t>
  </si>
  <si>
    <t>Senators</t>
  </si>
  <si>
    <t>Edmonton</t>
  </si>
  <si>
    <t>Oilers</t>
  </si>
  <si>
    <t>Salt Lake City</t>
  </si>
  <si>
    <t>Jazz</t>
  </si>
  <si>
    <t>Winnipeg</t>
  </si>
  <si>
    <t>Jets</t>
  </si>
  <si>
    <t>San Diego</t>
  </si>
  <si>
    <t>Padres</t>
  </si>
  <si>
    <t>San Antonio</t>
  </si>
  <si>
    <t>Spurs</t>
  </si>
  <si>
    <t>Sacramento</t>
  </si>
  <si>
    <t>Kings</t>
  </si>
  <si>
    <t>Las Vegas</t>
  </si>
  <si>
    <t>Golden Knights</t>
  </si>
  <si>
    <t>Jacksonville</t>
  </si>
  <si>
    <t>Jaguars</t>
  </si>
  <si>
    <t>Oklahoma City</t>
  </si>
  <si>
    <t>Thunder</t>
  </si>
  <si>
    <t>Memphis</t>
  </si>
  <si>
    <t>Grizzlies</t>
  </si>
  <si>
    <t>Raleigh</t>
  </si>
  <si>
    <t>Hurricanes</t>
  </si>
  <si>
    <t>Green Bay</t>
  </si>
  <si>
    <t>Packers</t>
  </si>
  <si>
    <t>Hamilton</t>
  </si>
  <si>
    <t>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</si>
</sst>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3101-3593-459F-A98F-3D53BB21D3A1}">
  <dimension ref="A1:Q42"/>
  <sheetViews>
    <sheetView workbookViewId="0">
      <selection activeCell="T33" sqref="T33"/>
    </sheetView>
  </sheetViews>
  <sheetFormatPr defaultRowHeight="15" x14ac:dyDescent="0.25"/>
  <cols>
    <col min="9" max="9" width="16.5703125" customWidth="1"/>
    <col min="10" max="10" width="13.28515625" customWidth="1"/>
    <col min="15" max="15" width="15.5703125" customWidth="1"/>
    <col min="16" max="16" width="22.28515625" customWidth="1"/>
  </cols>
  <sheetData>
    <row r="1" spans="1:17" x14ac:dyDescent="0.25">
      <c r="A1" t="s">
        <v>0</v>
      </c>
      <c r="B1" t="s">
        <v>1</v>
      </c>
      <c r="C1" t="s">
        <v>2</v>
      </c>
      <c r="F1" t="s">
        <v>8</v>
      </c>
      <c r="G1" t="s">
        <v>1</v>
      </c>
      <c r="H1" t="s">
        <v>2</v>
      </c>
      <c r="I1" t="s">
        <v>11</v>
      </c>
      <c r="J1" t="s">
        <v>12</v>
      </c>
      <c r="L1" t="s">
        <v>9</v>
      </c>
      <c r="M1" t="s">
        <v>1</v>
      </c>
      <c r="N1" t="s">
        <v>2</v>
      </c>
      <c r="O1" t="s">
        <v>11</v>
      </c>
      <c r="P1" t="s">
        <v>12</v>
      </c>
    </row>
    <row r="2" spans="1:17" x14ac:dyDescent="0.25">
      <c r="A2">
        <v>0</v>
      </c>
      <c r="B2" t="s">
        <v>3</v>
      </c>
      <c r="C2" t="s">
        <v>4</v>
      </c>
      <c r="F2">
        <v>0</v>
      </c>
      <c r="G2">
        <v>45</v>
      </c>
      <c r="H2">
        <v>90</v>
      </c>
      <c r="I2">
        <v>315</v>
      </c>
      <c r="J2">
        <f>H2-45</f>
        <v>45</v>
      </c>
      <c r="L2">
        <v>0</v>
      </c>
      <c r="M2">
        <v>90</v>
      </c>
      <c r="N2">
        <v>180</v>
      </c>
      <c r="O2">
        <f>L2-M2</f>
        <v>-90</v>
      </c>
      <c r="P2">
        <v>90</v>
      </c>
      <c r="Q2">
        <f>360-O2</f>
        <v>450</v>
      </c>
    </row>
    <row r="3" spans="1:17" x14ac:dyDescent="0.25">
      <c r="A3" t="s">
        <v>3</v>
      </c>
      <c r="B3" t="s">
        <v>3</v>
      </c>
      <c r="C3" t="s">
        <v>3</v>
      </c>
      <c r="F3">
        <v>10</v>
      </c>
      <c r="G3">
        <v>45</v>
      </c>
      <c r="H3">
        <v>80</v>
      </c>
      <c r="I3">
        <v>325</v>
      </c>
      <c r="J3">
        <f t="shared" ref="J3:J36" si="0">H3-45</f>
        <v>35</v>
      </c>
      <c r="L3">
        <v>10</v>
      </c>
      <c r="M3">
        <v>90</v>
      </c>
      <c r="N3">
        <v>170</v>
      </c>
      <c r="O3">
        <f t="shared" ref="O3:O37" si="1">L3-M3</f>
        <v>-80</v>
      </c>
      <c r="P3">
        <v>80</v>
      </c>
      <c r="Q3">
        <f t="shared" ref="Q3:Q37" si="2">360-O3</f>
        <v>440</v>
      </c>
    </row>
    <row r="4" spans="1:17" x14ac:dyDescent="0.25">
      <c r="A4" t="s">
        <v>4</v>
      </c>
      <c r="B4" t="s">
        <v>3</v>
      </c>
      <c r="C4">
        <v>0</v>
      </c>
      <c r="F4">
        <v>20</v>
      </c>
      <c r="G4">
        <v>45</v>
      </c>
      <c r="H4">
        <v>70</v>
      </c>
      <c r="I4">
        <v>335</v>
      </c>
      <c r="J4">
        <f t="shared" si="0"/>
        <v>25</v>
      </c>
      <c r="L4">
        <v>20</v>
      </c>
      <c r="M4">
        <v>90</v>
      </c>
      <c r="N4">
        <v>160</v>
      </c>
      <c r="O4">
        <f t="shared" si="1"/>
        <v>-70</v>
      </c>
      <c r="P4">
        <v>70</v>
      </c>
      <c r="Q4">
        <f t="shared" si="2"/>
        <v>430</v>
      </c>
    </row>
    <row r="5" spans="1:17" x14ac:dyDescent="0.25">
      <c r="A5" t="s">
        <v>5</v>
      </c>
      <c r="B5" t="s">
        <v>3</v>
      </c>
      <c r="C5" t="s">
        <v>6</v>
      </c>
      <c r="F5">
        <v>30</v>
      </c>
      <c r="G5">
        <v>45</v>
      </c>
      <c r="H5">
        <v>60</v>
      </c>
      <c r="I5">
        <v>345</v>
      </c>
      <c r="J5">
        <f t="shared" si="0"/>
        <v>15</v>
      </c>
      <c r="L5">
        <v>30</v>
      </c>
      <c r="M5">
        <v>90</v>
      </c>
      <c r="N5">
        <v>150</v>
      </c>
      <c r="O5">
        <f t="shared" si="1"/>
        <v>-60</v>
      </c>
      <c r="P5">
        <v>60</v>
      </c>
      <c r="Q5">
        <f t="shared" si="2"/>
        <v>420</v>
      </c>
    </row>
    <row r="6" spans="1:17" x14ac:dyDescent="0.25">
      <c r="A6" t="s">
        <v>7</v>
      </c>
      <c r="B6" t="s">
        <v>3</v>
      </c>
      <c r="C6" t="s">
        <v>7</v>
      </c>
      <c r="F6">
        <v>40</v>
      </c>
      <c r="G6">
        <v>45</v>
      </c>
      <c r="H6">
        <v>50</v>
      </c>
      <c r="I6">
        <v>355</v>
      </c>
      <c r="J6">
        <f t="shared" si="0"/>
        <v>5</v>
      </c>
      <c r="L6">
        <v>40</v>
      </c>
      <c r="M6">
        <v>90</v>
      </c>
      <c r="N6">
        <v>140</v>
      </c>
      <c r="O6">
        <f t="shared" si="1"/>
        <v>-50</v>
      </c>
      <c r="P6">
        <v>50</v>
      </c>
      <c r="Q6">
        <f t="shared" si="2"/>
        <v>410</v>
      </c>
    </row>
    <row r="7" spans="1:17" x14ac:dyDescent="0.25">
      <c r="B7" t="s">
        <v>3</v>
      </c>
      <c r="F7">
        <v>50</v>
      </c>
      <c r="G7">
        <v>45</v>
      </c>
      <c r="H7">
        <v>40</v>
      </c>
      <c r="I7">
        <f t="shared" ref="I3:I42" si="3">F7-G7</f>
        <v>5</v>
      </c>
      <c r="J7">
        <v>355</v>
      </c>
      <c r="L7">
        <v>50</v>
      </c>
      <c r="M7">
        <v>90</v>
      </c>
      <c r="N7">
        <v>130</v>
      </c>
      <c r="O7">
        <f t="shared" si="1"/>
        <v>-40</v>
      </c>
      <c r="P7">
        <v>40</v>
      </c>
      <c r="Q7">
        <f t="shared" si="2"/>
        <v>400</v>
      </c>
    </row>
    <row r="8" spans="1:17" x14ac:dyDescent="0.25">
      <c r="B8" t="s">
        <v>3</v>
      </c>
      <c r="F8">
        <v>60</v>
      </c>
      <c r="G8">
        <v>45</v>
      </c>
      <c r="H8">
        <v>30</v>
      </c>
      <c r="I8">
        <f t="shared" si="3"/>
        <v>15</v>
      </c>
      <c r="J8">
        <v>345</v>
      </c>
      <c r="L8">
        <v>60</v>
      </c>
      <c r="M8">
        <v>90</v>
      </c>
      <c r="N8">
        <v>120</v>
      </c>
      <c r="O8">
        <f t="shared" si="1"/>
        <v>-30</v>
      </c>
      <c r="P8">
        <v>30</v>
      </c>
      <c r="Q8">
        <f t="shared" si="2"/>
        <v>390</v>
      </c>
    </row>
    <row r="9" spans="1:17" x14ac:dyDescent="0.25">
      <c r="F9">
        <v>70</v>
      </c>
      <c r="G9">
        <v>45</v>
      </c>
      <c r="H9">
        <v>20</v>
      </c>
      <c r="I9">
        <f t="shared" si="3"/>
        <v>25</v>
      </c>
      <c r="J9">
        <v>335</v>
      </c>
      <c r="L9">
        <v>70</v>
      </c>
      <c r="M9">
        <v>90</v>
      </c>
      <c r="N9">
        <v>110</v>
      </c>
      <c r="O9">
        <f t="shared" si="1"/>
        <v>-20</v>
      </c>
      <c r="P9">
        <v>20</v>
      </c>
      <c r="Q9">
        <f t="shared" si="2"/>
        <v>380</v>
      </c>
    </row>
    <row r="10" spans="1:17" x14ac:dyDescent="0.25">
      <c r="F10">
        <v>80</v>
      </c>
      <c r="G10">
        <v>45</v>
      </c>
      <c r="H10">
        <v>10</v>
      </c>
      <c r="I10">
        <f t="shared" si="3"/>
        <v>35</v>
      </c>
      <c r="J10">
        <v>325</v>
      </c>
      <c r="L10">
        <v>80</v>
      </c>
      <c r="M10">
        <v>90</v>
      </c>
      <c r="N10">
        <v>100</v>
      </c>
      <c r="O10">
        <f t="shared" si="1"/>
        <v>-10</v>
      </c>
      <c r="P10">
        <v>10</v>
      </c>
      <c r="Q10">
        <f t="shared" si="2"/>
        <v>370</v>
      </c>
    </row>
    <row r="11" spans="1:17" x14ac:dyDescent="0.25">
      <c r="F11">
        <v>90</v>
      </c>
      <c r="G11">
        <v>45</v>
      </c>
      <c r="H11">
        <v>0</v>
      </c>
      <c r="I11">
        <f t="shared" si="3"/>
        <v>45</v>
      </c>
      <c r="J11">
        <v>315</v>
      </c>
      <c r="L11">
        <v>90</v>
      </c>
      <c r="M11">
        <v>90</v>
      </c>
      <c r="N11">
        <v>90</v>
      </c>
      <c r="O11">
        <f t="shared" si="1"/>
        <v>0</v>
      </c>
      <c r="P11">
        <v>0</v>
      </c>
      <c r="Q11">
        <f t="shared" si="2"/>
        <v>360</v>
      </c>
    </row>
    <row r="12" spans="1:17" x14ac:dyDescent="0.25">
      <c r="F12">
        <v>100</v>
      </c>
      <c r="G12">
        <v>45</v>
      </c>
      <c r="H12">
        <v>350</v>
      </c>
      <c r="I12">
        <f t="shared" si="3"/>
        <v>55</v>
      </c>
      <c r="J12">
        <f t="shared" si="0"/>
        <v>305</v>
      </c>
      <c r="L12">
        <v>100</v>
      </c>
      <c r="M12">
        <v>90</v>
      </c>
      <c r="N12">
        <v>80</v>
      </c>
      <c r="O12">
        <f t="shared" si="1"/>
        <v>10</v>
      </c>
      <c r="P12">
        <v>350</v>
      </c>
      <c r="Q12">
        <f t="shared" si="2"/>
        <v>350</v>
      </c>
    </row>
    <row r="13" spans="1:17" x14ac:dyDescent="0.25">
      <c r="F13">
        <v>110</v>
      </c>
      <c r="G13">
        <v>45</v>
      </c>
      <c r="H13">
        <v>340</v>
      </c>
      <c r="I13">
        <f t="shared" si="3"/>
        <v>65</v>
      </c>
      <c r="J13">
        <f t="shared" si="0"/>
        <v>295</v>
      </c>
      <c r="L13">
        <v>110</v>
      </c>
      <c r="M13">
        <v>90</v>
      </c>
      <c r="N13">
        <v>70</v>
      </c>
      <c r="O13">
        <f t="shared" si="1"/>
        <v>20</v>
      </c>
      <c r="P13">
        <v>340</v>
      </c>
      <c r="Q13">
        <f t="shared" si="2"/>
        <v>340</v>
      </c>
    </row>
    <row r="14" spans="1:17" x14ac:dyDescent="0.25">
      <c r="F14">
        <v>120</v>
      </c>
      <c r="G14">
        <v>45</v>
      </c>
      <c r="H14">
        <v>330</v>
      </c>
      <c r="I14">
        <f t="shared" si="3"/>
        <v>75</v>
      </c>
      <c r="J14">
        <f t="shared" si="0"/>
        <v>285</v>
      </c>
      <c r="L14">
        <v>120</v>
      </c>
      <c r="M14">
        <v>90</v>
      </c>
      <c r="N14">
        <v>60</v>
      </c>
      <c r="O14">
        <f t="shared" si="1"/>
        <v>30</v>
      </c>
      <c r="P14">
        <v>330</v>
      </c>
      <c r="Q14">
        <f t="shared" si="2"/>
        <v>330</v>
      </c>
    </row>
    <row r="15" spans="1:17" x14ac:dyDescent="0.25">
      <c r="F15">
        <v>130</v>
      </c>
      <c r="G15">
        <v>45</v>
      </c>
      <c r="H15">
        <v>320</v>
      </c>
      <c r="I15">
        <f t="shared" si="3"/>
        <v>85</v>
      </c>
      <c r="J15">
        <f t="shared" si="0"/>
        <v>275</v>
      </c>
      <c r="L15">
        <v>130</v>
      </c>
      <c r="M15">
        <v>90</v>
      </c>
      <c r="N15">
        <v>50</v>
      </c>
      <c r="O15">
        <f t="shared" si="1"/>
        <v>40</v>
      </c>
      <c r="P15">
        <v>320</v>
      </c>
      <c r="Q15">
        <f t="shared" si="2"/>
        <v>320</v>
      </c>
    </row>
    <row r="16" spans="1:17" x14ac:dyDescent="0.25">
      <c r="F16">
        <v>140</v>
      </c>
      <c r="G16">
        <v>45</v>
      </c>
      <c r="H16">
        <v>310</v>
      </c>
      <c r="I16">
        <f t="shared" si="3"/>
        <v>95</v>
      </c>
      <c r="J16">
        <f t="shared" si="0"/>
        <v>265</v>
      </c>
      <c r="L16">
        <v>140</v>
      </c>
      <c r="M16">
        <v>90</v>
      </c>
      <c r="N16">
        <v>40</v>
      </c>
      <c r="O16">
        <f t="shared" si="1"/>
        <v>50</v>
      </c>
      <c r="P16">
        <v>310</v>
      </c>
      <c r="Q16">
        <f t="shared" si="2"/>
        <v>310</v>
      </c>
    </row>
    <row r="17" spans="6:17" x14ac:dyDescent="0.25">
      <c r="F17">
        <v>150</v>
      </c>
      <c r="G17">
        <v>45</v>
      </c>
      <c r="H17">
        <v>300</v>
      </c>
      <c r="I17">
        <f t="shared" si="3"/>
        <v>105</v>
      </c>
      <c r="J17">
        <f t="shared" si="0"/>
        <v>255</v>
      </c>
      <c r="L17">
        <v>150</v>
      </c>
      <c r="M17">
        <v>90</v>
      </c>
      <c r="N17">
        <v>30</v>
      </c>
      <c r="O17">
        <f t="shared" si="1"/>
        <v>60</v>
      </c>
      <c r="P17">
        <v>300</v>
      </c>
      <c r="Q17">
        <f t="shared" si="2"/>
        <v>300</v>
      </c>
    </row>
    <row r="18" spans="6:17" x14ac:dyDescent="0.25">
      <c r="F18">
        <v>160</v>
      </c>
      <c r="G18">
        <v>45</v>
      </c>
      <c r="H18">
        <v>290</v>
      </c>
      <c r="I18">
        <f t="shared" si="3"/>
        <v>115</v>
      </c>
      <c r="J18">
        <f t="shared" si="0"/>
        <v>245</v>
      </c>
      <c r="L18">
        <v>160</v>
      </c>
      <c r="M18">
        <v>90</v>
      </c>
      <c r="N18">
        <v>20</v>
      </c>
      <c r="O18">
        <f t="shared" si="1"/>
        <v>70</v>
      </c>
      <c r="P18">
        <v>290</v>
      </c>
      <c r="Q18">
        <f t="shared" si="2"/>
        <v>290</v>
      </c>
    </row>
    <row r="19" spans="6:17" x14ac:dyDescent="0.25">
      <c r="F19">
        <v>170</v>
      </c>
      <c r="G19">
        <v>45</v>
      </c>
      <c r="H19">
        <v>280</v>
      </c>
      <c r="I19">
        <f t="shared" si="3"/>
        <v>125</v>
      </c>
      <c r="J19">
        <f t="shared" si="0"/>
        <v>235</v>
      </c>
      <c r="L19">
        <v>170</v>
      </c>
      <c r="M19">
        <v>90</v>
      </c>
      <c r="N19">
        <v>10</v>
      </c>
      <c r="O19">
        <f t="shared" si="1"/>
        <v>80</v>
      </c>
      <c r="P19">
        <v>280</v>
      </c>
      <c r="Q19">
        <f t="shared" si="2"/>
        <v>280</v>
      </c>
    </row>
    <row r="20" spans="6:17" x14ac:dyDescent="0.25">
      <c r="F20">
        <v>180</v>
      </c>
      <c r="G20">
        <v>45</v>
      </c>
      <c r="H20">
        <v>270</v>
      </c>
      <c r="I20">
        <f t="shared" si="3"/>
        <v>135</v>
      </c>
      <c r="J20">
        <f t="shared" si="0"/>
        <v>225</v>
      </c>
      <c r="L20">
        <v>180</v>
      </c>
      <c r="M20">
        <v>90</v>
      </c>
      <c r="N20">
        <v>0</v>
      </c>
      <c r="O20">
        <f t="shared" si="1"/>
        <v>90</v>
      </c>
      <c r="P20">
        <v>270</v>
      </c>
      <c r="Q20">
        <f t="shared" si="2"/>
        <v>270</v>
      </c>
    </row>
    <row r="21" spans="6:17" x14ac:dyDescent="0.25">
      <c r="F21">
        <v>190</v>
      </c>
      <c r="G21">
        <v>45</v>
      </c>
      <c r="H21">
        <v>260</v>
      </c>
      <c r="I21">
        <f t="shared" si="3"/>
        <v>145</v>
      </c>
      <c r="J21">
        <f t="shared" si="0"/>
        <v>215</v>
      </c>
      <c r="L21">
        <v>190</v>
      </c>
      <c r="M21">
        <v>90</v>
      </c>
      <c r="N21">
        <v>350</v>
      </c>
      <c r="O21">
        <f t="shared" si="1"/>
        <v>100</v>
      </c>
      <c r="P21">
        <v>260</v>
      </c>
      <c r="Q21">
        <f t="shared" si="2"/>
        <v>260</v>
      </c>
    </row>
    <row r="22" spans="6:17" x14ac:dyDescent="0.25">
      <c r="F22">
        <v>200</v>
      </c>
      <c r="G22">
        <v>45</v>
      </c>
      <c r="H22">
        <v>250</v>
      </c>
      <c r="I22">
        <f t="shared" si="3"/>
        <v>155</v>
      </c>
      <c r="J22">
        <f t="shared" si="0"/>
        <v>205</v>
      </c>
      <c r="L22">
        <v>200</v>
      </c>
      <c r="M22">
        <v>90</v>
      </c>
      <c r="N22">
        <v>340</v>
      </c>
      <c r="O22">
        <f t="shared" si="1"/>
        <v>110</v>
      </c>
      <c r="P22">
        <v>250</v>
      </c>
      <c r="Q22">
        <f t="shared" si="2"/>
        <v>250</v>
      </c>
    </row>
    <row r="23" spans="6:17" x14ac:dyDescent="0.25">
      <c r="F23">
        <v>210</v>
      </c>
      <c r="G23">
        <v>45</v>
      </c>
      <c r="H23">
        <v>240</v>
      </c>
      <c r="I23">
        <f t="shared" si="3"/>
        <v>165</v>
      </c>
      <c r="J23">
        <f t="shared" si="0"/>
        <v>195</v>
      </c>
      <c r="L23">
        <v>210</v>
      </c>
      <c r="M23">
        <v>90</v>
      </c>
      <c r="N23">
        <v>330</v>
      </c>
      <c r="O23">
        <f t="shared" si="1"/>
        <v>120</v>
      </c>
      <c r="P23">
        <v>240</v>
      </c>
      <c r="Q23">
        <f t="shared" si="2"/>
        <v>240</v>
      </c>
    </row>
    <row r="24" spans="6:17" x14ac:dyDescent="0.25">
      <c r="F24">
        <v>220</v>
      </c>
      <c r="G24">
        <v>45</v>
      </c>
      <c r="H24">
        <v>230</v>
      </c>
      <c r="I24">
        <f t="shared" si="3"/>
        <v>175</v>
      </c>
      <c r="J24">
        <f t="shared" si="0"/>
        <v>185</v>
      </c>
      <c r="L24">
        <v>220</v>
      </c>
      <c r="M24">
        <v>90</v>
      </c>
      <c r="N24">
        <v>320</v>
      </c>
      <c r="O24">
        <f t="shared" si="1"/>
        <v>130</v>
      </c>
      <c r="P24">
        <v>230</v>
      </c>
      <c r="Q24">
        <f t="shared" si="2"/>
        <v>230</v>
      </c>
    </row>
    <row r="25" spans="6:17" x14ac:dyDescent="0.25">
      <c r="F25">
        <v>230</v>
      </c>
      <c r="G25">
        <v>45</v>
      </c>
      <c r="H25">
        <v>220</v>
      </c>
      <c r="I25">
        <f t="shared" si="3"/>
        <v>185</v>
      </c>
      <c r="J25">
        <f t="shared" si="0"/>
        <v>175</v>
      </c>
      <c r="L25">
        <v>230</v>
      </c>
      <c r="M25">
        <v>90</v>
      </c>
      <c r="N25">
        <v>310</v>
      </c>
      <c r="O25">
        <f t="shared" si="1"/>
        <v>140</v>
      </c>
      <c r="P25">
        <v>220</v>
      </c>
      <c r="Q25">
        <f t="shared" si="2"/>
        <v>220</v>
      </c>
    </row>
    <row r="26" spans="6:17" x14ac:dyDescent="0.25">
      <c r="F26">
        <v>240</v>
      </c>
      <c r="G26">
        <v>45</v>
      </c>
      <c r="H26">
        <v>210</v>
      </c>
      <c r="I26">
        <f t="shared" si="3"/>
        <v>195</v>
      </c>
      <c r="J26">
        <f t="shared" si="0"/>
        <v>165</v>
      </c>
      <c r="L26">
        <v>240</v>
      </c>
      <c r="M26">
        <v>90</v>
      </c>
      <c r="N26">
        <v>300</v>
      </c>
      <c r="O26">
        <f t="shared" si="1"/>
        <v>150</v>
      </c>
      <c r="P26">
        <v>210</v>
      </c>
      <c r="Q26">
        <f t="shared" si="2"/>
        <v>210</v>
      </c>
    </row>
    <row r="27" spans="6:17" x14ac:dyDescent="0.25">
      <c r="F27">
        <v>250</v>
      </c>
      <c r="G27">
        <v>45</v>
      </c>
      <c r="H27">
        <v>200</v>
      </c>
      <c r="I27">
        <f t="shared" si="3"/>
        <v>205</v>
      </c>
      <c r="J27">
        <f t="shared" si="0"/>
        <v>155</v>
      </c>
      <c r="L27">
        <v>250</v>
      </c>
      <c r="M27">
        <v>90</v>
      </c>
      <c r="N27">
        <v>290</v>
      </c>
      <c r="O27">
        <f t="shared" si="1"/>
        <v>160</v>
      </c>
      <c r="P27">
        <v>200</v>
      </c>
      <c r="Q27">
        <f t="shared" si="2"/>
        <v>200</v>
      </c>
    </row>
    <row r="28" spans="6:17" x14ac:dyDescent="0.25">
      <c r="F28">
        <v>260</v>
      </c>
      <c r="G28">
        <v>45</v>
      </c>
      <c r="H28">
        <v>190</v>
      </c>
      <c r="I28">
        <f t="shared" si="3"/>
        <v>215</v>
      </c>
      <c r="J28">
        <f t="shared" si="0"/>
        <v>145</v>
      </c>
      <c r="L28">
        <v>260</v>
      </c>
      <c r="M28">
        <v>90</v>
      </c>
      <c r="N28">
        <v>280</v>
      </c>
      <c r="O28">
        <f t="shared" si="1"/>
        <v>170</v>
      </c>
      <c r="P28">
        <v>190</v>
      </c>
      <c r="Q28">
        <f t="shared" si="2"/>
        <v>190</v>
      </c>
    </row>
    <row r="29" spans="6:17" x14ac:dyDescent="0.25">
      <c r="F29">
        <v>270</v>
      </c>
      <c r="G29">
        <v>45</v>
      </c>
      <c r="H29">
        <v>180</v>
      </c>
      <c r="I29">
        <f t="shared" si="3"/>
        <v>225</v>
      </c>
      <c r="J29">
        <f t="shared" si="0"/>
        <v>135</v>
      </c>
      <c r="L29">
        <v>270</v>
      </c>
      <c r="M29">
        <v>90</v>
      </c>
      <c r="N29">
        <v>270</v>
      </c>
      <c r="O29">
        <f t="shared" si="1"/>
        <v>180</v>
      </c>
      <c r="P29">
        <v>180</v>
      </c>
      <c r="Q29">
        <f t="shared" si="2"/>
        <v>180</v>
      </c>
    </row>
    <row r="30" spans="6:17" x14ac:dyDescent="0.25">
      <c r="F30">
        <v>280</v>
      </c>
      <c r="G30">
        <v>45</v>
      </c>
      <c r="H30">
        <v>170</v>
      </c>
      <c r="I30">
        <f t="shared" si="3"/>
        <v>235</v>
      </c>
      <c r="J30">
        <f t="shared" si="0"/>
        <v>125</v>
      </c>
      <c r="L30">
        <v>280</v>
      </c>
      <c r="M30">
        <v>90</v>
      </c>
      <c r="N30">
        <v>260</v>
      </c>
      <c r="O30">
        <f t="shared" si="1"/>
        <v>190</v>
      </c>
      <c r="P30">
        <v>170</v>
      </c>
      <c r="Q30">
        <f t="shared" si="2"/>
        <v>170</v>
      </c>
    </row>
    <row r="31" spans="6:17" x14ac:dyDescent="0.25">
      <c r="F31">
        <v>290</v>
      </c>
      <c r="G31">
        <v>45</v>
      </c>
      <c r="H31">
        <v>160</v>
      </c>
      <c r="I31">
        <f t="shared" si="3"/>
        <v>245</v>
      </c>
      <c r="J31">
        <f t="shared" si="0"/>
        <v>115</v>
      </c>
      <c r="L31">
        <v>290</v>
      </c>
      <c r="M31">
        <v>90</v>
      </c>
      <c r="N31">
        <v>250</v>
      </c>
      <c r="O31">
        <f t="shared" si="1"/>
        <v>200</v>
      </c>
      <c r="P31">
        <v>160</v>
      </c>
      <c r="Q31">
        <f t="shared" si="2"/>
        <v>160</v>
      </c>
    </row>
    <row r="32" spans="6:17" x14ac:dyDescent="0.25">
      <c r="F32">
        <v>300</v>
      </c>
      <c r="G32">
        <v>45</v>
      </c>
      <c r="H32">
        <v>150</v>
      </c>
      <c r="I32">
        <f t="shared" si="3"/>
        <v>255</v>
      </c>
      <c r="J32">
        <f t="shared" si="0"/>
        <v>105</v>
      </c>
      <c r="L32">
        <v>300</v>
      </c>
      <c r="M32">
        <v>90</v>
      </c>
      <c r="N32">
        <v>240</v>
      </c>
      <c r="O32">
        <f t="shared" si="1"/>
        <v>210</v>
      </c>
      <c r="P32">
        <v>150</v>
      </c>
      <c r="Q32">
        <f t="shared" si="2"/>
        <v>150</v>
      </c>
    </row>
    <row r="33" spans="6:17" x14ac:dyDescent="0.25">
      <c r="F33">
        <v>310</v>
      </c>
      <c r="G33">
        <v>45</v>
      </c>
      <c r="H33">
        <v>140</v>
      </c>
      <c r="I33">
        <f t="shared" si="3"/>
        <v>265</v>
      </c>
      <c r="J33">
        <f t="shared" si="0"/>
        <v>95</v>
      </c>
      <c r="L33">
        <v>310</v>
      </c>
      <c r="M33">
        <v>90</v>
      </c>
      <c r="N33">
        <v>230</v>
      </c>
      <c r="O33">
        <f t="shared" si="1"/>
        <v>220</v>
      </c>
      <c r="P33">
        <v>140</v>
      </c>
      <c r="Q33">
        <f t="shared" si="2"/>
        <v>140</v>
      </c>
    </row>
    <row r="34" spans="6:17" x14ac:dyDescent="0.25">
      <c r="F34">
        <v>320</v>
      </c>
      <c r="G34">
        <v>45</v>
      </c>
      <c r="H34">
        <v>130</v>
      </c>
      <c r="I34">
        <f t="shared" si="3"/>
        <v>275</v>
      </c>
      <c r="J34">
        <f t="shared" si="0"/>
        <v>85</v>
      </c>
      <c r="L34">
        <v>320</v>
      </c>
      <c r="M34">
        <v>90</v>
      </c>
      <c r="N34">
        <v>220</v>
      </c>
      <c r="O34">
        <f t="shared" si="1"/>
        <v>230</v>
      </c>
      <c r="P34">
        <v>130</v>
      </c>
      <c r="Q34">
        <f t="shared" si="2"/>
        <v>130</v>
      </c>
    </row>
    <row r="35" spans="6:17" x14ac:dyDescent="0.25">
      <c r="F35">
        <v>330</v>
      </c>
      <c r="G35">
        <v>45</v>
      </c>
      <c r="H35">
        <v>120</v>
      </c>
      <c r="I35">
        <f t="shared" si="3"/>
        <v>285</v>
      </c>
      <c r="J35">
        <f t="shared" si="0"/>
        <v>75</v>
      </c>
      <c r="L35">
        <v>330</v>
      </c>
      <c r="M35">
        <v>90</v>
      </c>
      <c r="N35">
        <v>210</v>
      </c>
      <c r="O35">
        <f t="shared" si="1"/>
        <v>240</v>
      </c>
      <c r="P35">
        <v>120</v>
      </c>
      <c r="Q35">
        <f t="shared" si="2"/>
        <v>120</v>
      </c>
    </row>
    <row r="36" spans="6:17" x14ac:dyDescent="0.25">
      <c r="F36">
        <v>340</v>
      </c>
      <c r="G36">
        <v>45</v>
      </c>
      <c r="H36">
        <v>110</v>
      </c>
      <c r="I36">
        <f t="shared" si="3"/>
        <v>295</v>
      </c>
      <c r="J36">
        <f t="shared" si="0"/>
        <v>65</v>
      </c>
      <c r="L36">
        <v>340</v>
      </c>
      <c r="M36">
        <v>90</v>
      </c>
      <c r="N36">
        <v>200</v>
      </c>
      <c r="O36">
        <f t="shared" si="1"/>
        <v>250</v>
      </c>
      <c r="P36">
        <v>110</v>
      </c>
      <c r="Q36">
        <f t="shared" si="2"/>
        <v>110</v>
      </c>
    </row>
    <row r="37" spans="6:17" x14ac:dyDescent="0.25">
      <c r="F37">
        <v>350</v>
      </c>
      <c r="G37">
        <v>45</v>
      </c>
      <c r="H37">
        <v>100</v>
      </c>
      <c r="I37">
        <f t="shared" si="3"/>
        <v>305</v>
      </c>
      <c r="J37">
        <f>H37-45</f>
        <v>55</v>
      </c>
      <c r="L37">
        <v>350</v>
      </c>
      <c r="M37">
        <v>90</v>
      </c>
      <c r="N37">
        <v>190</v>
      </c>
      <c r="O37">
        <f t="shared" si="1"/>
        <v>260</v>
      </c>
      <c r="P37">
        <v>100</v>
      </c>
      <c r="Q37">
        <f t="shared" si="2"/>
        <v>100</v>
      </c>
    </row>
    <row r="38" spans="6:17" x14ac:dyDescent="0.25">
      <c r="F38">
        <v>0</v>
      </c>
      <c r="G38">
        <v>45</v>
      </c>
      <c r="H38">
        <v>90</v>
      </c>
      <c r="I38">
        <v>315</v>
      </c>
      <c r="J38">
        <f t="shared" ref="J38:J42" si="4">H38-45</f>
        <v>45</v>
      </c>
    </row>
    <row r="39" spans="6:17" x14ac:dyDescent="0.25">
      <c r="F39">
        <v>10</v>
      </c>
      <c r="G39">
        <v>45</v>
      </c>
      <c r="H39">
        <v>80</v>
      </c>
      <c r="I39">
        <v>325</v>
      </c>
      <c r="J39">
        <f t="shared" si="4"/>
        <v>35</v>
      </c>
    </row>
    <row r="40" spans="6:17" x14ac:dyDescent="0.25">
      <c r="F40">
        <v>20</v>
      </c>
      <c r="G40">
        <v>45</v>
      </c>
      <c r="H40">
        <v>70</v>
      </c>
      <c r="I40">
        <v>335</v>
      </c>
      <c r="J40">
        <f t="shared" si="4"/>
        <v>25</v>
      </c>
    </row>
    <row r="41" spans="6:17" x14ac:dyDescent="0.25">
      <c r="F41">
        <v>30</v>
      </c>
      <c r="G41">
        <v>45</v>
      </c>
      <c r="H41">
        <v>60</v>
      </c>
      <c r="I41">
        <v>345</v>
      </c>
      <c r="J41">
        <f t="shared" si="4"/>
        <v>15</v>
      </c>
    </row>
    <row r="42" spans="6:17" x14ac:dyDescent="0.25">
      <c r="F42">
        <v>40</v>
      </c>
      <c r="G42">
        <v>45</v>
      </c>
      <c r="H42">
        <v>50</v>
      </c>
      <c r="I42">
        <v>355</v>
      </c>
      <c r="J42">
        <f t="shared" si="4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A790-4549-4480-BD32-72E2FAC5967A}">
  <dimension ref="B2:V66"/>
  <sheetViews>
    <sheetView tabSelected="1" topLeftCell="G1" workbookViewId="0">
      <selection activeCell="R3" sqref="R3"/>
    </sheetView>
  </sheetViews>
  <sheetFormatPr defaultRowHeight="15" x14ac:dyDescent="0.25"/>
  <cols>
    <col min="3" max="3" width="60.7109375" customWidth="1"/>
    <col min="16" max="16" width="17.28515625" customWidth="1"/>
    <col min="17" max="19" width="31.5703125" customWidth="1"/>
  </cols>
  <sheetData>
    <row r="2" spans="2:22" x14ac:dyDescent="0.25">
      <c r="B2" t="s">
        <v>13</v>
      </c>
      <c r="E2" t="s">
        <v>14</v>
      </c>
      <c r="S2" t="s">
        <v>125</v>
      </c>
    </row>
    <row r="3" spans="2:22" x14ac:dyDescent="0.25">
      <c r="B3" t="s">
        <v>10</v>
      </c>
      <c r="C3" t="s">
        <v>15</v>
      </c>
      <c r="E3" t="s">
        <v>10</v>
      </c>
      <c r="F3" t="s">
        <v>15</v>
      </c>
      <c r="I3" t="s">
        <v>18</v>
      </c>
      <c r="J3" t="s">
        <v>19</v>
      </c>
      <c r="L3" t="s">
        <v>17</v>
      </c>
      <c r="M3" t="s">
        <v>16</v>
      </c>
      <c r="R3" t="s">
        <v>129</v>
      </c>
      <c r="S3" t="s">
        <v>152</v>
      </c>
      <c r="T3">
        <v>54</v>
      </c>
      <c r="U3">
        <v>54</v>
      </c>
    </row>
    <row r="4" spans="2:22" x14ac:dyDescent="0.25">
      <c r="B4">
        <v>500</v>
      </c>
      <c r="C4">
        <v>500</v>
      </c>
      <c r="E4">
        <v>10</v>
      </c>
      <c r="F4">
        <v>-10</v>
      </c>
      <c r="I4">
        <v>0</v>
      </c>
      <c r="J4">
        <v>-10</v>
      </c>
      <c r="L4">
        <v>0</v>
      </c>
      <c r="M4">
        <v>10</v>
      </c>
      <c r="P4">
        <v>2</v>
      </c>
      <c r="Q4" t="s">
        <v>21</v>
      </c>
      <c r="R4" t="s">
        <v>86</v>
      </c>
      <c r="S4" t="s">
        <v>86</v>
      </c>
      <c r="T4">
        <v>82</v>
      </c>
      <c r="U4">
        <v>50</v>
      </c>
      <c r="V4">
        <v>50</v>
      </c>
    </row>
    <row r="5" spans="2:22" x14ac:dyDescent="0.25">
      <c r="B5">
        <v>0</v>
      </c>
      <c r="C5">
        <v>0</v>
      </c>
      <c r="E5">
        <v>-10</v>
      </c>
      <c r="F5">
        <v>10</v>
      </c>
      <c r="I5">
        <v>100</v>
      </c>
      <c r="L5">
        <v>100</v>
      </c>
      <c r="P5">
        <v>3</v>
      </c>
      <c r="Q5" t="s">
        <v>22</v>
      </c>
      <c r="R5" t="s">
        <v>116</v>
      </c>
      <c r="S5" t="s">
        <v>169</v>
      </c>
      <c r="T5">
        <v>82</v>
      </c>
      <c r="U5">
        <v>49</v>
      </c>
      <c r="V5">
        <v>49</v>
      </c>
    </row>
    <row r="6" spans="2:22" x14ac:dyDescent="0.25">
      <c r="B6">
        <v>250</v>
      </c>
      <c r="C6">
        <v>250</v>
      </c>
      <c r="E6">
        <v>0</v>
      </c>
      <c r="F6">
        <v>0</v>
      </c>
      <c r="I6">
        <v>200</v>
      </c>
      <c r="L6">
        <v>200</v>
      </c>
      <c r="P6">
        <v>4</v>
      </c>
      <c r="Q6" t="s">
        <v>23</v>
      </c>
      <c r="R6" t="s">
        <v>101</v>
      </c>
      <c r="S6" t="s">
        <v>182</v>
      </c>
      <c r="T6">
        <v>82</v>
      </c>
      <c r="U6">
        <v>44</v>
      </c>
      <c r="V6">
        <v>44</v>
      </c>
    </row>
    <row r="7" spans="2:22" x14ac:dyDescent="0.25">
      <c r="B7">
        <v>500</v>
      </c>
      <c r="C7">
        <v>0</v>
      </c>
      <c r="E7">
        <v>10</v>
      </c>
      <c r="F7">
        <v>10</v>
      </c>
      <c r="I7">
        <v>250</v>
      </c>
      <c r="J7">
        <v>0</v>
      </c>
      <c r="L7">
        <v>250</v>
      </c>
      <c r="M7">
        <v>0</v>
      </c>
      <c r="P7">
        <v>5</v>
      </c>
      <c r="Q7" t="s">
        <v>24</v>
      </c>
      <c r="R7" t="s">
        <v>111</v>
      </c>
      <c r="S7" t="s">
        <v>155</v>
      </c>
      <c r="T7">
        <v>82</v>
      </c>
      <c r="U7">
        <v>30</v>
      </c>
      <c r="V7">
        <v>30</v>
      </c>
    </row>
    <row r="8" spans="2:22" x14ac:dyDescent="0.25">
      <c r="B8">
        <v>0</v>
      </c>
      <c r="C8">
        <v>500</v>
      </c>
      <c r="E8">
        <v>-10</v>
      </c>
      <c r="F8">
        <v>-10</v>
      </c>
      <c r="I8">
        <v>300</v>
      </c>
      <c r="L8">
        <v>300</v>
      </c>
      <c r="P8">
        <v>6</v>
      </c>
      <c r="Q8" t="s">
        <v>25</v>
      </c>
      <c r="R8" t="s">
        <v>172</v>
      </c>
      <c r="S8" t="s">
        <v>66</v>
      </c>
      <c r="T8">
        <v>82</v>
      </c>
      <c r="U8">
        <v>29</v>
      </c>
      <c r="V8">
        <v>29</v>
      </c>
    </row>
    <row r="9" spans="2:22" x14ac:dyDescent="0.25">
      <c r="I9">
        <v>400</v>
      </c>
      <c r="L9">
        <v>400</v>
      </c>
      <c r="P9">
        <v>7</v>
      </c>
      <c r="Q9" t="s">
        <v>26</v>
      </c>
      <c r="R9" t="s">
        <v>184</v>
      </c>
      <c r="S9" t="s">
        <v>144</v>
      </c>
      <c r="T9">
        <v>82</v>
      </c>
      <c r="U9">
        <v>28</v>
      </c>
      <c r="V9">
        <v>28</v>
      </c>
    </row>
    <row r="10" spans="2:22" x14ac:dyDescent="0.25">
      <c r="I10">
        <v>500</v>
      </c>
      <c r="J10">
        <v>10</v>
      </c>
      <c r="L10">
        <v>500</v>
      </c>
      <c r="M10">
        <v>-10</v>
      </c>
      <c r="P10">
        <v>8</v>
      </c>
      <c r="Q10" t="s">
        <v>27</v>
      </c>
      <c r="R10" t="s">
        <v>169</v>
      </c>
      <c r="S10" t="s">
        <v>137</v>
      </c>
      <c r="T10">
        <v>82</v>
      </c>
      <c r="U10">
        <v>25</v>
      </c>
      <c r="V10">
        <v>25</v>
      </c>
    </row>
    <row r="11" spans="2:22" x14ac:dyDescent="0.25">
      <c r="P11">
        <v>10</v>
      </c>
      <c r="Q11" t="s">
        <v>28</v>
      </c>
      <c r="R11" t="s">
        <v>76</v>
      </c>
      <c r="S11" t="s">
        <v>180</v>
      </c>
      <c r="T11">
        <v>82</v>
      </c>
      <c r="U11">
        <v>49</v>
      </c>
      <c r="V11">
        <v>49</v>
      </c>
    </row>
    <row r="12" spans="2:22" x14ac:dyDescent="0.25">
      <c r="P12">
        <v>11</v>
      </c>
      <c r="Q12" t="s">
        <v>29</v>
      </c>
      <c r="R12" t="s">
        <v>133</v>
      </c>
      <c r="S12" t="s">
        <v>71</v>
      </c>
      <c r="T12">
        <v>82</v>
      </c>
      <c r="U12">
        <v>47</v>
      </c>
      <c r="V12">
        <v>47</v>
      </c>
    </row>
    <row r="13" spans="2:22" x14ac:dyDescent="0.25">
      <c r="I13" s="1" t="s">
        <v>20</v>
      </c>
      <c r="P13">
        <v>12</v>
      </c>
      <c r="Q13" t="s">
        <v>30</v>
      </c>
      <c r="R13" t="s">
        <v>81</v>
      </c>
      <c r="S13" t="s">
        <v>96</v>
      </c>
      <c r="T13">
        <v>82</v>
      </c>
      <c r="U13">
        <v>42</v>
      </c>
      <c r="V13">
        <v>42</v>
      </c>
    </row>
    <row r="14" spans="2:22" x14ac:dyDescent="0.25">
      <c r="P14">
        <v>13</v>
      </c>
      <c r="Q14" t="s">
        <v>31</v>
      </c>
      <c r="R14" t="s">
        <v>180</v>
      </c>
      <c r="S14" t="s">
        <v>111</v>
      </c>
      <c r="T14">
        <v>82</v>
      </c>
      <c r="U14">
        <v>45</v>
      </c>
      <c r="V14">
        <v>45</v>
      </c>
    </row>
    <row r="15" spans="2:22" x14ac:dyDescent="0.25">
      <c r="P15">
        <v>14</v>
      </c>
      <c r="Q15" t="s">
        <v>32</v>
      </c>
      <c r="R15" t="s">
        <v>51</v>
      </c>
      <c r="S15" t="s">
        <v>186</v>
      </c>
      <c r="T15">
        <v>82</v>
      </c>
      <c r="U15">
        <v>44</v>
      </c>
      <c r="V15">
        <v>44</v>
      </c>
    </row>
    <row r="16" spans="2:22" x14ac:dyDescent="0.25">
      <c r="B16" t="s">
        <v>51</v>
      </c>
      <c r="C16">
        <v>20153634</v>
      </c>
      <c r="D16" t="s">
        <v>52</v>
      </c>
      <c r="E16" t="s">
        <v>53</v>
      </c>
      <c r="F16" t="s">
        <v>54</v>
      </c>
      <c r="G16" t="s">
        <v>55</v>
      </c>
      <c r="P16">
        <v>15</v>
      </c>
      <c r="Q16" t="s">
        <v>33</v>
      </c>
      <c r="R16" t="s">
        <v>206</v>
      </c>
      <c r="S16" t="s">
        <v>208</v>
      </c>
      <c r="T16">
        <v>82</v>
      </c>
      <c r="U16">
        <v>36</v>
      </c>
      <c r="V16">
        <v>36</v>
      </c>
    </row>
    <row r="17" spans="2:22" x14ac:dyDescent="0.25">
      <c r="B17">
        <v>1</v>
      </c>
      <c r="D17">
        <v>13310447</v>
      </c>
      <c r="E17" t="s">
        <v>57</v>
      </c>
      <c r="F17" t="s">
        <v>58</v>
      </c>
      <c r="G17" t="s">
        <v>59</v>
      </c>
      <c r="H17" t="s">
        <v>60</v>
      </c>
      <c r="P17">
        <v>16</v>
      </c>
      <c r="Q17" t="s">
        <v>34</v>
      </c>
      <c r="R17" t="s">
        <v>51</v>
      </c>
      <c r="S17" t="s">
        <v>210</v>
      </c>
      <c r="T17">
        <v>82</v>
      </c>
      <c r="U17">
        <v>35</v>
      </c>
      <c r="V17">
        <v>35</v>
      </c>
    </row>
    <row r="18" spans="2:22" x14ac:dyDescent="0.25">
      <c r="B18">
        <v>2</v>
      </c>
      <c r="D18">
        <v>6657982</v>
      </c>
      <c r="E18" t="s">
        <v>62</v>
      </c>
      <c r="F18" t="s">
        <v>63</v>
      </c>
      <c r="G18" t="s">
        <v>64</v>
      </c>
      <c r="H18" t="s">
        <v>65</v>
      </c>
      <c r="P18">
        <v>17</v>
      </c>
      <c r="Q18" t="s">
        <v>35</v>
      </c>
      <c r="R18" t="s">
        <v>51</v>
      </c>
      <c r="S18" t="s">
        <v>121</v>
      </c>
      <c r="T18">
        <v>82</v>
      </c>
      <c r="U18">
        <v>34</v>
      </c>
      <c r="V18">
        <v>34</v>
      </c>
    </row>
    <row r="19" spans="2:22" x14ac:dyDescent="0.25">
      <c r="B19">
        <v>3</v>
      </c>
      <c r="D19">
        <v>9512999</v>
      </c>
      <c r="E19" t="s">
        <v>67</v>
      </c>
      <c r="F19" t="s">
        <v>68</v>
      </c>
      <c r="G19" t="s">
        <v>69</v>
      </c>
      <c r="H19" t="s">
        <v>70</v>
      </c>
      <c r="P19">
        <v>19</v>
      </c>
      <c r="Q19" t="s">
        <v>36</v>
      </c>
      <c r="R19" t="s">
        <v>160</v>
      </c>
      <c r="S19" t="s">
        <v>157</v>
      </c>
      <c r="T19">
        <v>82</v>
      </c>
      <c r="U19">
        <v>53</v>
      </c>
      <c r="V19">
        <v>53</v>
      </c>
    </row>
    <row r="20" spans="2:22" x14ac:dyDescent="0.25">
      <c r="B20">
        <v>4</v>
      </c>
      <c r="D20">
        <v>7233323</v>
      </c>
      <c r="E20" t="s">
        <v>72</v>
      </c>
      <c r="F20" t="s">
        <v>73</v>
      </c>
      <c r="G20" t="s">
        <v>74</v>
      </c>
      <c r="H20" t="s">
        <v>75</v>
      </c>
      <c r="P20">
        <v>20</v>
      </c>
      <c r="Q20" t="s">
        <v>37</v>
      </c>
      <c r="R20" t="s">
        <v>190</v>
      </c>
      <c r="S20" t="s">
        <v>200</v>
      </c>
      <c r="T20">
        <v>82</v>
      </c>
      <c r="U20">
        <v>52</v>
      </c>
      <c r="V20">
        <v>52</v>
      </c>
    </row>
    <row r="21" spans="2:22" x14ac:dyDescent="0.25">
      <c r="B21">
        <v>5</v>
      </c>
      <c r="D21">
        <v>6131977</v>
      </c>
      <c r="E21" t="s">
        <v>77</v>
      </c>
      <c r="F21" t="s">
        <v>78</v>
      </c>
      <c r="G21" t="s">
        <v>79</v>
      </c>
      <c r="H21" t="s">
        <v>80</v>
      </c>
      <c r="P21">
        <v>21</v>
      </c>
      <c r="Q21" t="s">
        <v>38</v>
      </c>
      <c r="R21" t="s">
        <v>91</v>
      </c>
      <c r="S21" t="s">
        <v>147</v>
      </c>
      <c r="T21">
        <v>82</v>
      </c>
      <c r="U21">
        <v>45</v>
      </c>
      <c r="V21">
        <v>45</v>
      </c>
    </row>
    <row r="22" spans="2:22" x14ac:dyDescent="0.25">
      <c r="B22">
        <v>6</v>
      </c>
      <c r="D22">
        <v>6070500</v>
      </c>
      <c r="E22" t="s">
        <v>82</v>
      </c>
      <c r="F22" t="s">
        <v>83</v>
      </c>
      <c r="G22" t="s">
        <v>84</v>
      </c>
      <c r="H22" t="s">
        <v>85</v>
      </c>
      <c r="P22">
        <v>22</v>
      </c>
      <c r="Q22" t="s">
        <v>39</v>
      </c>
      <c r="R22" t="s">
        <v>96</v>
      </c>
      <c r="S22" t="s">
        <v>198</v>
      </c>
      <c r="T22">
        <v>82</v>
      </c>
      <c r="U22">
        <v>43</v>
      </c>
      <c r="V22">
        <v>43</v>
      </c>
    </row>
    <row r="23" spans="2:22" x14ac:dyDescent="0.25">
      <c r="B23">
        <v>7</v>
      </c>
      <c r="D23">
        <v>4794447</v>
      </c>
      <c r="E23" t="s">
        <v>87</v>
      </c>
      <c r="F23" t="s">
        <v>88</v>
      </c>
      <c r="G23" t="s">
        <v>89</v>
      </c>
      <c r="H23" t="s">
        <v>90</v>
      </c>
      <c r="P23">
        <v>23</v>
      </c>
      <c r="Q23" t="s">
        <v>40</v>
      </c>
      <c r="R23" t="s">
        <v>150</v>
      </c>
      <c r="S23" t="s">
        <v>56</v>
      </c>
      <c r="T23">
        <v>82</v>
      </c>
      <c r="U23">
        <v>44</v>
      </c>
      <c r="V23">
        <v>44</v>
      </c>
    </row>
    <row r="24" spans="2:22" x14ac:dyDescent="0.25">
      <c r="B24">
        <v>8</v>
      </c>
      <c r="D24">
        <v>3551036</v>
      </c>
      <c r="E24" t="s">
        <v>92</v>
      </c>
      <c r="F24" t="s">
        <v>93</v>
      </c>
      <c r="G24" t="s">
        <v>94</v>
      </c>
      <c r="H24" t="s">
        <v>95</v>
      </c>
      <c r="P24">
        <v>24</v>
      </c>
      <c r="Q24" t="s">
        <v>41</v>
      </c>
      <c r="R24" t="s">
        <v>71</v>
      </c>
      <c r="S24" t="s">
        <v>204</v>
      </c>
      <c r="T24">
        <v>82</v>
      </c>
      <c r="U24">
        <v>42</v>
      </c>
      <c r="V24">
        <v>42</v>
      </c>
    </row>
    <row r="25" spans="2:22" x14ac:dyDescent="0.25">
      <c r="B25">
        <v>9</v>
      </c>
      <c r="D25">
        <v>2853077</v>
      </c>
      <c r="E25" t="s">
        <v>97</v>
      </c>
      <c r="F25" t="s">
        <v>98</v>
      </c>
      <c r="G25" t="s">
        <v>99</v>
      </c>
      <c r="H25" t="s">
        <v>100</v>
      </c>
      <c r="P25">
        <v>25</v>
      </c>
      <c r="Q25" t="s">
        <v>42</v>
      </c>
      <c r="R25" t="s">
        <v>66</v>
      </c>
      <c r="S25" t="s">
        <v>101</v>
      </c>
      <c r="T25">
        <v>82</v>
      </c>
      <c r="U25">
        <v>33</v>
      </c>
      <c r="V25">
        <v>33</v>
      </c>
    </row>
    <row r="26" spans="2:22" x14ac:dyDescent="0.25">
      <c r="B26">
        <v>10</v>
      </c>
      <c r="D26">
        <v>6066387</v>
      </c>
      <c r="E26" t="s">
        <v>102</v>
      </c>
      <c r="F26" t="s">
        <v>103</v>
      </c>
      <c r="G26" t="s">
        <v>104</v>
      </c>
      <c r="H26" t="s">
        <v>105</v>
      </c>
      <c r="P26">
        <v>27</v>
      </c>
      <c r="Q26" t="s">
        <v>43</v>
      </c>
      <c r="R26" t="s">
        <v>198</v>
      </c>
      <c r="S26" t="s">
        <v>163</v>
      </c>
      <c r="T26">
        <v>82</v>
      </c>
      <c r="U26">
        <v>51</v>
      </c>
      <c r="V26">
        <v>51</v>
      </c>
    </row>
    <row r="27" spans="2:22" x14ac:dyDescent="0.25">
      <c r="B27">
        <v>11</v>
      </c>
      <c r="D27">
        <v>4661537</v>
      </c>
      <c r="E27" t="s">
        <v>107</v>
      </c>
      <c r="F27" t="s">
        <v>108</v>
      </c>
      <c r="G27" t="s">
        <v>109</v>
      </c>
      <c r="H27" t="s">
        <v>110</v>
      </c>
      <c r="P27">
        <v>28</v>
      </c>
      <c r="Q27" t="s">
        <v>44</v>
      </c>
      <c r="R27" t="s">
        <v>56</v>
      </c>
      <c r="S27" t="s">
        <v>91</v>
      </c>
      <c r="T27">
        <v>82</v>
      </c>
      <c r="U27">
        <v>44</v>
      </c>
      <c r="V27">
        <v>44</v>
      </c>
    </row>
    <row r="28" spans="2:22" x14ac:dyDescent="0.25">
      <c r="B28">
        <v>12</v>
      </c>
      <c r="D28">
        <v>4297617</v>
      </c>
      <c r="E28" t="s">
        <v>112</v>
      </c>
      <c r="F28" t="s">
        <v>113</v>
      </c>
      <c r="G28" t="s">
        <v>114</v>
      </c>
      <c r="H28" t="s">
        <v>115</v>
      </c>
      <c r="P28">
        <v>29</v>
      </c>
      <c r="Q28" t="s">
        <v>45</v>
      </c>
      <c r="R28" t="s">
        <v>61</v>
      </c>
      <c r="S28" t="s">
        <v>172</v>
      </c>
      <c r="T28">
        <v>82</v>
      </c>
      <c r="U28">
        <v>45</v>
      </c>
      <c r="V28">
        <v>45</v>
      </c>
    </row>
    <row r="29" spans="2:22" x14ac:dyDescent="0.25">
      <c r="B29">
        <v>13</v>
      </c>
      <c r="D29">
        <v>5928040</v>
      </c>
      <c r="E29" t="s">
        <v>117</v>
      </c>
      <c r="F29" t="s">
        <v>118</v>
      </c>
      <c r="G29" t="s">
        <v>119</v>
      </c>
      <c r="H29" t="s">
        <v>120</v>
      </c>
      <c r="P29">
        <v>30</v>
      </c>
      <c r="Q29" t="s">
        <v>46</v>
      </c>
      <c r="R29" t="s">
        <v>56</v>
      </c>
      <c r="S29" t="s">
        <v>160</v>
      </c>
      <c r="T29">
        <v>82</v>
      </c>
      <c r="U29">
        <v>45</v>
      </c>
      <c r="V29">
        <v>45</v>
      </c>
    </row>
    <row r="30" spans="2:22" x14ac:dyDescent="0.25">
      <c r="B30">
        <v>14</v>
      </c>
      <c r="D30">
        <v>6772470</v>
      </c>
      <c r="E30" t="s">
        <v>122</v>
      </c>
      <c r="F30" t="s">
        <v>123</v>
      </c>
      <c r="G30" t="s">
        <v>124</v>
      </c>
      <c r="H30" t="s">
        <v>117</v>
      </c>
      <c r="P30">
        <v>31</v>
      </c>
      <c r="Q30" t="s">
        <v>47</v>
      </c>
      <c r="R30" t="s">
        <v>182</v>
      </c>
      <c r="S30" t="s">
        <v>166</v>
      </c>
      <c r="T30">
        <v>82</v>
      </c>
      <c r="U30">
        <v>37</v>
      </c>
      <c r="V30">
        <v>37</v>
      </c>
    </row>
    <row r="31" spans="2:22" x14ac:dyDescent="0.25">
      <c r="B31">
        <v>15</v>
      </c>
      <c r="D31">
        <v>5789700</v>
      </c>
      <c r="E31" t="s">
        <v>126</v>
      </c>
      <c r="F31" t="s">
        <v>127</v>
      </c>
      <c r="G31" t="s">
        <v>128</v>
      </c>
      <c r="P31">
        <v>32</v>
      </c>
      <c r="Q31" t="s">
        <v>48</v>
      </c>
      <c r="R31" t="s">
        <v>186</v>
      </c>
      <c r="S31" t="s">
        <v>202</v>
      </c>
      <c r="T31">
        <v>82</v>
      </c>
      <c r="U31">
        <v>36</v>
      </c>
      <c r="V31">
        <v>36</v>
      </c>
    </row>
    <row r="32" spans="2:22" x14ac:dyDescent="0.25">
      <c r="B32">
        <v>16</v>
      </c>
      <c r="D32">
        <v>3032171</v>
      </c>
      <c r="E32" t="s">
        <v>130</v>
      </c>
      <c r="F32" t="s">
        <v>131</v>
      </c>
      <c r="G32" t="s">
        <v>117</v>
      </c>
      <c r="H32" t="s">
        <v>132</v>
      </c>
      <c r="P32">
        <v>33</v>
      </c>
      <c r="Q32" t="s">
        <v>49</v>
      </c>
      <c r="R32" t="s">
        <v>174</v>
      </c>
      <c r="S32" t="s">
        <v>176</v>
      </c>
      <c r="T32">
        <v>82</v>
      </c>
      <c r="U32">
        <v>31</v>
      </c>
      <c r="V32">
        <v>31</v>
      </c>
    </row>
    <row r="33" spans="2:22" x14ac:dyDescent="0.25">
      <c r="B33">
        <v>17</v>
      </c>
      <c r="D33">
        <v>2342299</v>
      </c>
      <c r="E33" t="s">
        <v>134</v>
      </c>
      <c r="F33" t="s">
        <v>135</v>
      </c>
      <c r="H33" t="s">
        <v>136</v>
      </c>
      <c r="P33">
        <v>34</v>
      </c>
      <c r="Q33" t="s">
        <v>50</v>
      </c>
      <c r="R33" t="s">
        <v>106</v>
      </c>
      <c r="S33" t="s">
        <v>184</v>
      </c>
      <c r="T33">
        <v>82</v>
      </c>
      <c r="U33">
        <v>29</v>
      </c>
      <c r="V33">
        <v>29</v>
      </c>
    </row>
    <row r="34" spans="2:22" x14ac:dyDescent="0.25">
      <c r="B34">
        <v>18</v>
      </c>
      <c r="D34">
        <v>2055612</v>
      </c>
      <c r="E34" t="s">
        <v>138</v>
      </c>
      <c r="F34" t="s">
        <v>139</v>
      </c>
      <c r="G34" t="s">
        <v>140</v>
      </c>
      <c r="S34" t="s">
        <v>81</v>
      </c>
    </row>
    <row r="35" spans="2:22" x14ac:dyDescent="0.25">
      <c r="B35">
        <v>19</v>
      </c>
      <c r="D35">
        <v>3798902</v>
      </c>
      <c r="E35" t="s">
        <v>142</v>
      </c>
      <c r="F35" t="s">
        <v>143</v>
      </c>
      <c r="S35" t="s">
        <v>106</v>
      </c>
    </row>
    <row r="36" spans="2:22" x14ac:dyDescent="0.25">
      <c r="B36">
        <v>20</v>
      </c>
      <c r="D36">
        <v>2165139</v>
      </c>
      <c r="E36" t="s">
        <v>145</v>
      </c>
      <c r="F36" t="s">
        <v>146</v>
      </c>
      <c r="H36" t="s">
        <v>117</v>
      </c>
      <c r="S36" t="s">
        <v>133</v>
      </c>
    </row>
    <row r="37" spans="2:22" x14ac:dyDescent="0.25">
      <c r="B37">
        <v>21</v>
      </c>
      <c r="D37">
        <v>2104509</v>
      </c>
      <c r="E37" t="s">
        <v>148</v>
      </c>
      <c r="F37" t="s">
        <v>149</v>
      </c>
      <c r="S37" t="s">
        <v>178</v>
      </c>
    </row>
    <row r="38" spans="2:22" x14ac:dyDescent="0.25">
      <c r="B38">
        <v>22</v>
      </c>
      <c r="D38">
        <v>2807002</v>
      </c>
      <c r="F38" t="s">
        <v>107</v>
      </c>
      <c r="H38" t="s">
        <v>151</v>
      </c>
      <c r="S38" t="s">
        <v>206</v>
      </c>
    </row>
    <row r="39" spans="2:22" x14ac:dyDescent="0.25">
      <c r="B39">
        <v>23</v>
      </c>
      <c r="D39">
        <v>2798886</v>
      </c>
      <c r="E39" t="s">
        <v>153</v>
      </c>
      <c r="F39" t="s">
        <v>154</v>
      </c>
      <c r="H39" t="s">
        <v>117</v>
      </c>
      <c r="S39" t="s">
        <v>211</v>
      </c>
    </row>
    <row r="40" spans="2:22" x14ac:dyDescent="0.25">
      <c r="B40">
        <v>24</v>
      </c>
      <c r="D40">
        <v>2474314</v>
      </c>
      <c r="E40" t="s">
        <v>105</v>
      </c>
      <c r="F40" t="s">
        <v>117</v>
      </c>
      <c r="G40" t="s">
        <v>156</v>
      </c>
      <c r="H40" t="s">
        <v>117</v>
      </c>
      <c r="S40" t="s">
        <v>196</v>
      </c>
    </row>
    <row r="41" spans="2:22" x14ac:dyDescent="0.25">
      <c r="B41">
        <v>25</v>
      </c>
      <c r="D41">
        <v>2004230</v>
      </c>
      <c r="E41" t="s">
        <v>158</v>
      </c>
      <c r="G41" t="s">
        <v>159</v>
      </c>
      <c r="H41" t="s">
        <v>117</v>
      </c>
      <c r="S41" t="s">
        <v>188</v>
      </c>
    </row>
    <row r="42" spans="2:22" x14ac:dyDescent="0.25">
      <c r="B42">
        <v>26</v>
      </c>
      <c r="D42">
        <v>1865298</v>
      </c>
      <c r="E42" t="s">
        <v>161</v>
      </c>
      <c r="F42" t="s">
        <v>117</v>
      </c>
      <c r="G42" t="s">
        <v>117</v>
      </c>
      <c r="H42" t="s">
        <v>162</v>
      </c>
      <c r="S42" t="s">
        <v>194</v>
      </c>
    </row>
    <row r="43" spans="2:22" x14ac:dyDescent="0.25">
      <c r="B43">
        <v>27</v>
      </c>
      <c r="D43">
        <v>1572482</v>
      </c>
      <c r="F43" t="s">
        <v>164</v>
      </c>
      <c r="G43" t="s">
        <v>165</v>
      </c>
      <c r="H43" t="s">
        <v>117</v>
      </c>
      <c r="S43" t="s">
        <v>192</v>
      </c>
    </row>
    <row r="44" spans="2:22" x14ac:dyDescent="0.25">
      <c r="B44">
        <v>28</v>
      </c>
      <c r="D44">
        <v>1268883</v>
      </c>
      <c r="E44" t="s">
        <v>167</v>
      </c>
      <c r="F44" t="s">
        <v>117</v>
      </c>
      <c r="G44" t="s">
        <v>168</v>
      </c>
      <c r="H44" t="s">
        <v>117</v>
      </c>
      <c r="S44" t="s">
        <v>61</v>
      </c>
    </row>
    <row r="45" spans="2:22" x14ac:dyDescent="0.25">
      <c r="B45">
        <v>29</v>
      </c>
      <c r="D45">
        <v>1132804</v>
      </c>
      <c r="E45" t="s">
        <v>170</v>
      </c>
      <c r="H45" t="s">
        <v>171</v>
      </c>
      <c r="S45" t="s">
        <v>141</v>
      </c>
    </row>
    <row r="46" spans="2:22" x14ac:dyDescent="0.25">
      <c r="B46">
        <v>30</v>
      </c>
      <c r="D46">
        <v>4098927</v>
      </c>
      <c r="E46" t="s">
        <v>117</v>
      </c>
      <c r="G46" t="s">
        <v>117</v>
      </c>
      <c r="H46" t="s">
        <v>173</v>
      </c>
      <c r="S46" t="s">
        <v>150</v>
      </c>
    </row>
    <row r="47" spans="2:22" x14ac:dyDescent="0.25">
      <c r="B47">
        <v>31</v>
      </c>
      <c r="D47">
        <v>2463431</v>
      </c>
      <c r="E47" t="s">
        <v>117</v>
      </c>
      <c r="F47" t="s">
        <v>117</v>
      </c>
      <c r="H47" t="s">
        <v>175</v>
      </c>
      <c r="S47" t="s">
        <v>129</v>
      </c>
    </row>
    <row r="48" spans="2:22" x14ac:dyDescent="0.25">
      <c r="B48">
        <v>32</v>
      </c>
      <c r="D48">
        <v>2441257</v>
      </c>
      <c r="E48" t="s">
        <v>117</v>
      </c>
      <c r="F48" t="s">
        <v>117</v>
      </c>
      <c r="G48" t="s">
        <v>177</v>
      </c>
      <c r="H48" t="s">
        <v>117</v>
      </c>
      <c r="S48" t="s">
        <v>116</v>
      </c>
    </row>
    <row r="49" spans="2:19" x14ac:dyDescent="0.25">
      <c r="B49">
        <v>33</v>
      </c>
      <c r="D49">
        <v>2424955</v>
      </c>
      <c r="E49" t="s">
        <v>117</v>
      </c>
      <c r="F49" t="s">
        <v>117</v>
      </c>
      <c r="G49" t="s">
        <v>179</v>
      </c>
      <c r="H49" t="s">
        <v>117</v>
      </c>
      <c r="S49" t="s">
        <v>174</v>
      </c>
    </row>
    <row r="50" spans="2:19" x14ac:dyDescent="0.25">
      <c r="B50">
        <v>34</v>
      </c>
      <c r="D50">
        <v>2041520</v>
      </c>
      <c r="E50" t="s">
        <v>117</v>
      </c>
      <c r="F50" t="s">
        <v>117</v>
      </c>
      <c r="G50" t="s">
        <v>117</v>
      </c>
      <c r="H50" t="s">
        <v>181</v>
      </c>
      <c r="S50" t="s">
        <v>76</v>
      </c>
    </row>
    <row r="51" spans="2:19" x14ac:dyDescent="0.25">
      <c r="B51">
        <v>35</v>
      </c>
      <c r="D51">
        <v>1392609</v>
      </c>
      <c r="E51" t="s">
        <v>117</v>
      </c>
      <c r="F51" t="s">
        <v>117</v>
      </c>
      <c r="G51" t="s">
        <v>117</v>
      </c>
      <c r="H51" t="s">
        <v>183</v>
      </c>
      <c r="S51" t="s">
        <v>190</v>
      </c>
    </row>
    <row r="52" spans="2:19" x14ac:dyDescent="0.25">
      <c r="B52">
        <v>36</v>
      </c>
      <c r="D52">
        <v>1323783</v>
      </c>
      <c r="E52" t="s">
        <v>117</v>
      </c>
      <c r="F52" t="s">
        <v>117</v>
      </c>
      <c r="G52" t="s">
        <v>117</v>
      </c>
      <c r="H52" t="s">
        <v>185</v>
      </c>
    </row>
    <row r="53" spans="2:19" x14ac:dyDescent="0.25">
      <c r="B53">
        <v>37</v>
      </c>
      <c r="D53">
        <v>1321426</v>
      </c>
      <c r="E53" t="s">
        <v>117</v>
      </c>
      <c r="F53" t="s">
        <v>117</v>
      </c>
      <c r="G53" t="s">
        <v>117</v>
      </c>
      <c r="H53" t="s">
        <v>187</v>
      </c>
    </row>
    <row r="54" spans="2:19" x14ac:dyDescent="0.25">
      <c r="B54">
        <v>38</v>
      </c>
      <c r="D54">
        <v>1186187</v>
      </c>
      <c r="E54" t="s">
        <v>117</v>
      </c>
      <c r="F54" t="s">
        <v>117</v>
      </c>
      <c r="G54" t="s">
        <v>189</v>
      </c>
      <c r="H54" t="s">
        <v>117</v>
      </c>
    </row>
    <row r="55" spans="2:19" x14ac:dyDescent="0.25">
      <c r="B55">
        <v>39</v>
      </c>
      <c r="D55">
        <v>778489</v>
      </c>
      <c r="E55" t="s">
        <v>117</v>
      </c>
      <c r="F55" t="s">
        <v>117</v>
      </c>
      <c r="G55" t="s">
        <v>117</v>
      </c>
      <c r="H55" t="s">
        <v>191</v>
      </c>
    </row>
    <row r="56" spans="2:19" x14ac:dyDescent="0.25">
      <c r="B56">
        <v>40</v>
      </c>
      <c r="D56">
        <v>3317749</v>
      </c>
      <c r="F56" t="s">
        <v>193</v>
      </c>
      <c r="H56" t="s">
        <v>117</v>
      </c>
    </row>
    <row r="57" spans="2:19" x14ac:dyDescent="0.25">
      <c r="B57">
        <v>41</v>
      </c>
      <c r="D57">
        <v>2429609</v>
      </c>
      <c r="F57" t="s">
        <v>117</v>
      </c>
      <c r="G57" t="s">
        <v>195</v>
      </c>
      <c r="H57" t="s">
        <v>117</v>
      </c>
    </row>
    <row r="58" spans="2:19" x14ac:dyDescent="0.25">
      <c r="B58">
        <v>42</v>
      </c>
      <c r="D58">
        <v>2296418</v>
      </c>
      <c r="E58" t="s">
        <v>117</v>
      </c>
      <c r="F58" t="s">
        <v>117</v>
      </c>
      <c r="G58" t="s">
        <v>197</v>
      </c>
      <c r="H58" t="s">
        <v>117</v>
      </c>
    </row>
    <row r="59" spans="2:19" x14ac:dyDescent="0.25">
      <c r="B59">
        <v>43</v>
      </c>
      <c r="D59">
        <v>2155664</v>
      </c>
      <c r="F59" t="s">
        <v>117</v>
      </c>
      <c r="G59" t="s">
        <v>117</v>
      </c>
      <c r="H59" t="s">
        <v>199</v>
      </c>
    </row>
    <row r="60" spans="2:19" x14ac:dyDescent="0.25">
      <c r="B60">
        <v>44</v>
      </c>
      <c r="D60">
        <v>1478212</v>
      </c>
      <c r="E60" t="s">
        <v>201</v>
      </c>
      <c r="F60" t="s">
        <v>117</v>
      </c>
      <c r="G60" t="s">
        <v>117</v>
      </c>
      <c r="H60" t="s">
        <v>117</v>
      </c>
    </row>
    <row r="61" spans="2:19" x14ac:dyDescent="0.25">
      <c r="B61">
        <v>45</v>
      </c>
      <c r="D61">
        <v>1373211</v>
      </c>
      <c r="E61" t="s">
        <v>117</v>
      </c>
      <c r="F61" t="s">
        <v>117</v>
      </c>
      <c r="G61" t="s">
        <v>203</v>
      </c>
      <c r="H61" t="s">
        <v>117</v>
      </c>
    </row>
    <row r="62" spans="2:19" x14ac:dyDescent="0.25">
      <c r="B62">
        <v>46</v>
      </c>
      <c r="D62">
        <v>1342842</v>
      </c>
      <c r="F62" t="s">
        <v>117</v>
      </c>
      <c r="G62" t="s">
        <v>205</v>
      </c>
      <c r="H62" t="s">
        <v>117</v>
      </c>
    </row>
    <row r="63" spans="2:19" x14ac:dyDescent="0.25">
      <c r="B63">
        <v>47</v>
      </c>
      <c r="D63">
        <v>1302946</v>
      </c>
      <c r="E63" t="s">
        <v>117</v>
      </c>
      <c r="F63" t="s">
        <v>117</v>
      </c>
      <c r="G63" t="s">
        <v>117</v>
      </c>
      <c r="H63" t="s">
        <v>207</v>
      </c>
    </row>
    <row r="64" spans="2:19" x14ac:dyDescent="0.25">
      <c r="B64">
        <v>48</v>
      </c>
      <c r="D64">
        <v>318236</v>
      </c>
      <c r="E64" t="s">
        <v>209</v>
      </c>
      <c r="F64" t="s">
        <v>117</v>
      </c>
      <c r="G64" t="s">
        <v>117</v>
      </c>
      <c r="H64" t="s">
        <v>117</v>
      </c>
    </row>
    <row r="65" spans="2:7" x14ac:dyDescent="0.25">
      <c r="B65">
        <v>49</v>
      </c>
      <c r="D65">
        <v>747545</v>
      </c>
      <c r="E65" t="s">
        <v>117</v>
      </c>
      <c r="F65" t="s">
        <v>117</v>
      </c>
      <c r="G65" t="s">
        <v>117</v>
      </c>
    </row>
    <row r="66" spans="2:7" x14ac:dyDescent="0.25">
      <c r="B66">
        <v>50</v>
      </c>
    </row>
  </sheetData>
  <sortState xmlns:xlrd2="http://schemas.microsoft.com/office/spreadsheetml/2017/richdata2" ref="S2:S66">
    <sortCondition ref="S2:S66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Carroll</dc:creator>
  <cp:lastModifiedBy>Mitchell Carroll</cp:lastModifiedBy>
  <dcterms:created xsi:type="dcterms:W3CDTF">2020-12-19T15:15:05Z</dcterms:created>
  <dcterms:modified xsi:type="dcterms:W3CDTF">2020-12-24T22:00:04Z</dcterms:modified>
</cp:coreProperties>
</file>